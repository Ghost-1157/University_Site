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<sst xmlns="http://schemas.openxmlformats.org/spreadsheetml/2006/main" count="27" uniqueCount="27">
  <si>
    <t>Университет</t>
  </si>
  <si>
    <t>Транспорт</t>
  </si>
  <si>
    <t>1-комнатная кв.</t>
  </si>
  <si>
    <t>Питание</t>
  </si>
  <si>
    <t>Общежитие в год</t>
  </si>
  <si>
    <t>Досуг</t>
  </si>
  <si>
    <t>Сумма</t>
  </si>
  <si>
    <t xml:space="preserve">Евразийский национальный университет имени Л.Н. Гумилева </t>
  </si>
  <si>
    <t>Казахский национальный университет им. аль-Фараби</t>
  </si>
  <si>
    <t xml:space="preserve">Казахский национальный исследовательский технический университет </t>
  </si>
  <si>
    <t>Казахский национальный педагогический университет имени Абая</t>
  </si>
  <si>
    <t>Казахский национальный аграрный исследовательский университет</t>
  </si>
  <si>
    <t xml:space="preserve">Южно-Казахста́нский университет имени М. О. Ауэзова </t>
  </si>
  <si>
    <t>Международный Казахско-Турецкий Университет им. Ходжа Ахмет Ясауи</t>
  </si>
  <si>
    <t>Карагандинский национальный исследовательский университет им. академика Е.А. Букетова</t>
  </si>
  <si>
    <t>Карагандинский технический университет
имени Абылкаса Сагинова</t>
  </si>
  <si>
    <t>Алматинский технологический университет</t>
  </si>
  <si>
    <t>Казахский национальный медицинский университет имени С.Д. Асфендиярова</t>
  </si>
  <si>
    <t>Восточно-Казахстанский технический университет им. Д. Серикбаева</t>
  </si>
  <si>
    <t>Казахстанско-Британский технический университет</t>
  </si>
  <si>
    <t>Университет Нархоз</t>
  </si>
  <si>
    <t>Казахский университет международных отношений и мировых языков имени Абылай хана</t>
  </si>
  <si>
    <t xml:space="preserve">Казахский агротехнический университет имени С.Сейфуллина </t>
  </si>
  <si>
    <t>Каспийский университет технологий и инжиниринга им. Ш.Есенова</t>
  </si>
  <si>
    <t>Северо-Казахстанский университет
имени Манаша Козыбаева</t>
  </si>
  <si>
    <t xml:space="preserve">Торайгыров университет </t>
  </si>
  <si>
    <t>Шәкәрім университет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</si>
</sst>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Bahnschrift"/>
    </font>
    <font>
      <b/>
      <sz val="11.0"/>
      <color theme="1"/>
      <name val="Arial"/>
    </font>
    <font>
      <sz val="11.0"/>
      <color theme="1"/>
      <name val="Bahnschrift"/>
    </font>
    <font>
      <sz val="11.0"/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1" fillId="0" fontId="3" numFmtId="0" xfId="0" applyBorder="1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63"/>
    <col customWidth="1" min="2" max="2" width="14.63"/>
    <col customWidth="1" min="3" max="3" width="18.25"/>
    <col customWidth="1" min="4" max="4" width="14.25"/>
    <col customWidth="1" min="5" max="5" width="17.25"/>
    <col customWidth="1" min="6" max="6" width="27.75"/>
    <col customWidth="1" min="7" max="7" width="20.5"/>
    <col customWidth="1" min="8" max="8" width="8.13"/>
    <col customWidth="1" min="9" max="20" width="7.63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3.5" customHeight="1">
      <c r="A2" s="5" t="s">
        <v>7</v>
      </c>
      <c r="B2" s="6">
        <v>4760.0</v>
      </c>
      <c r="C2" s="6">
        <v>190000.0</v>
      </c>
      <c r="D2" s="6">
        <v>45000.0</v>
      </c>
      <c r="E2" s="6">
        <v>300000.0</v>
      </c>
      <c r="F2" s="7">
        <f t="shared" ref="F2:F21" si="1">0.2*(B2+C2+D2+(E2/12))</f>
        <v>52952</v>
      </c>
      <c r="G2" s="7">
        <f t="shared" ref="G2:G21" si="2">B2+C2+D2+(E2/12)+F2</f>
        <v>317712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3.5" customHeight="1">
      <c r="A3" s="5" t="s">
        <v>8</v>
      </c>
      <c r="B3" s="6">
        <v>5200.0</v>
      </c>
      <c r="C3" s="6">
        <v>220000.0</v>
      </c>
      <c r="D3" s="6">
        <v>50000.0</v>
      </c>
      <c r="E3" s="6">
        <v>250000.0</v>
      </c>
      <c r="F3" s="7">
        <f t="shared" si="1"/>
        <v>59206.66667</v>
      </c>
      <c r="G3" s="7">
        <f t="shared" si="2"/>
        <v>355240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3.5" customHeight="1">
      <c r="A4" s="5" t="s">
        <v>9</v>
      </c>
      <c r="B4" s="6">
        <v>5200.0</v>
      </c>
      <c r="C4" s="6">
        <v>210000.0</v>
      </c>
      <c r="D4" s="6">
        <v>50000.0</v>
      </c>
      <c r="E4" s="6">
        <v>250000.0</v>
      </c>
      <c r="F4" s="7">
        <f t="shared" si="1"/>
        <v>57206.66667</v>
      </c>
      <c r="G4" s="7">
        <f t="shared" si="2"/>
        <v>343240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3.5" customHeight="1">
      <c r="A5" s="5" t="s">
        <v>10</v>
      </c>
      <c r="B5" s="6">
        <v>5200.0</v>
      </c>
      <c r="C5" s="6">
        <v>195000.0</v>
      </c>
      <c r="D5" s="6">
        <v>50000.0</v>
      </c>
      <c r="E5" s="6">
        <v>240000.0</v>
      </c>
      <c r="F5" s="7">
        <f t="shared" si="1"/>
        <v>54040</v>
      </c>
      <c r="G5" s="7">
        <f t="shared" si="2"/>
        <v>324240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3.5" customHeight="1">
      <c r="A6" s="5" t="s">
        <v>11</v>
      </c>
      <c r="B6" s="6">
        <v>5200.0</v>
      </c>
      <c r="C6" s="6">
        <v>195000.0</v>
      </c>
      <c r="D6" s="6">
        <v>50000.0</v>
      </c>
      <c r="E6" s="6">
        <v>220000.0</v>
      </c>
      <c r="F6" s="7">
        <f t="shared" si="1"/>
        <v>53706.66667</v>
      </c>
      <c r="G6" s="7">
        <f t="shared" si="2"/>
        <v>322240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3.5" customHeight="1">
      <c r="A7" s="5" t="s">
        <v>12</v>
      </c>
      <c r="B7" s="6">
        <v>4760.0</v>
      </c>
      <c r="C7" s="6">
        <v>130000.0</v>
      </c>
      <c r="D7" s="6">
        <v>35000.0</v>
      </c>
      <c r="E7" s="6">
        <v>195000.0</v>
      </c>
      <c r="F7" s="7">
        <f t="shared" si="1"/>
        <v>37202</v>
      </c>
      <c r="G7" s="7">
        <f t="shared" si="2"/>
        <v>223212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3.5" customHeight="1">
      <c r="A8" s="5" t="s">
        <v>13</v>
      </c>
      <c r="B8" s="8">
        <v>3460.0</v>
      </c>
      <c r="C8" s="6">
        <v>110000.0</v>
      </c>
      <c r="D8" s="6">
        <v>35000.0</v>
      </c>
      <c r="E8" s="6">
        <v>160000.0</v>
      </c>
      <c r="F8" s="7">
        <f t="shared" si="1"/>
        <v>32358.66667</v>
      </c>
      <c r="G8" s="7">
        <f t="shared" si="2"/>
        <v>194152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3.5" customHeight="1">
      <c r="A9" s="5" t="s">
        <v>14</v>
      </c>
      <c r="B9" s="6">
        <v>4300.0</v>
      </c>
      <c r="C9" s="6">
        <v>135000.0</v>
      </c>
      <c r="D9" s="6">
        <v>35000.0</v>
      </c>
      <c r="E9" s="6">
        <v>190000.0</v>
      </c>
      <c r="F9" s="7">
        <f t="shared" si="1"/>
        <v>38026.66667</v>
      </c>
      <c r="G9" s="7">
        <f t="shared" si="2"/>
        <v>228160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3.5" customHeight="1">
      <c r="A10" s="5" t="s">
        <v>15</v>
      </c>
      <c r="B10" s="6">
        <v>4300.0</v>
      </c>
      <c r="C10" s="6">
        <v>135000.0</v>
      </c>
      <c r="D10" s="6">
        <v>35000.0</v>
      </c>
      <c r="E10" s="6">
        <v>180000.0</v>
      </c>
      <c r="F10" s="7">
        <f t="shared" si="1"/>
        <v>37860</v>
      </c>
      <c r="G10" s="7">
        <f t="shared" si="2"/>
        <v>227160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3.5" customHeight="1">
      <c r="A11" s="5" t="s">
        <v>16</v>
      </c>
      <c r="B11" s="6">
        <v>5200.0</v>
      </c>
      <c r="C11" s="6">
        <v>190000.0</v>
      </c>
      <c r="D11" s="6">
        <v>50000.0</v>
      </c>
      <c r="E11" s="6">
        <v>240000.0</v>
      </c>
      <c r="F11" s="7">
        <f t="shared" si="1"/>
        <v>53040</v>
      </c>
      <c r="G11" s="7">
        <f t="shared" si="2"/>
        <v>318240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3.5" customHeight="1">
      <c r="A12" s="5" t="s">
        <v>17</v>
      </c>
      <c r="B12" s="6">
        <v>4760.0</v>
      </c>
      <c r="C12" s="6">
        <v>200000.0</v>
      </c>
      <c r="D12" s="6">
        <v>50000.0</v>
      </c>
      <c r="E12" s="6">
        <v>225000.0</v>
      </c>
      <c r="F12" s="7">
        <f t="shared" si="1"/>
        <v>54702</v>
      </c>
      <c r="G12" s="7">
        <f t="shared" si="2"/>
        <v>328212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3.5" customHeight="1">
      <c r="A13" s="5" t="s">
        <v>18</v>
      </c>
      <c r="B13" s="6">
        <v>4200.0</v>
      </c>
      <c r="C13" s="6">
        <v>120000.0</v>
      </c>
      <c r="D13" s="6">
        <v>35000.0</v>
      </c>
      <c r="E13" s="6">
        <v>180000.0</v>
      </c>
      <c r="F13" s="7">
        <f t="shared" si="1"/>
        <v>34840</v>
      </c>
      <c r="G13" s="7">
        <f t="shared" si="2"/>
        <v>209040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3.5" customHeight="1">
      <c r="A14" s="5" t="s">
        <v>19</v>
      </c>
      <c r="B14" s="6">
        <v>5200.0</v>
      </c>
      <c r="C14" s="6">
        <v>260000.0</v>
      </c>
      <c r="D14" s="6">
        <v>50000.0</v>
      </c>
      <c r="E14" s="6">
        <v>350000.0</v>
      </c>
      <c r="F14" s="7">
        <f t="shared" si="1"/>
        <v>68873.33333</v>
      </c>
      <c r="G14" s="7">
        <f t="shared" si="2"/>
        <v>413240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3.5" customHeight="1">
      <c r="A15" s="5" t="s">
        <v>20</v>
      </c>
      <c r="B15" s="6">
        <v>5200.0</v>
      </c>
      <c r="C15" s="6">
        <v>220000.0</v>
      </c>
      <c r="D15" s="6">
        <v>50000.0</v>
      </c>
      <c r="E15" s="6">
        <v>475000.0</v>
      </c>
      <c r="F15" s="7">
        <f t="shared" si="1"/>
        <v>62956.66667</v>
      </c>
      <c r="G15" s="7">
        <f t="shared" si="2"/>
        <v>377740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3.5" customHeight="1">
      <c r="A16" s="5" t="s">
        <v>21</v>
      </c>
      <c r="B16" s="6">
        <v>5200.0</v>
      </c>
      <c r="C16" s="6">
        <v>200000.0</v>
      </c>
      <c r="D16" s="6">
        <v>50000.0</v>
      </c>
      <c r="E16" s="6">
        <v>250000.0</v>
      </c>
      <c r="F16" s="7">
        <f t="shared" si="1"/>
        <v>55206.66667</v>
      </c>
      <c r="G16" s="7">
        <f t="shared" si="2"/>
        <v>331240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3.5" customHeight="1">
      <c r="A17" s="5" t="s">
        <v>22</v>
      </c>
      <c r="B17" s="6">
        <v>4760.0</v>
      </c>
      <c r="C17" s="6">
        <v>160000.0</v>
      </c>
      <c r="D17" s="6">
        <v>40000.0</v>
      </c>
      <c r="E17" s="6">
        <v>175000.0</v>
      </c>
      <c r="F17" s="7">
        <f t="shared" si="1"/>
        <v>43868.66667</v>
      </c>
      <c r="G17" s="7">
        <f t="shared" si="2"/>
        <v>263212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3.5" customHeight="1">
      <c r="A18" s="5" t="s">
        <v>23</v>
      </c>
      <c r="B18" s="6">
        <v>4200.0</v>
      </c>
      <c r="C18" s="6">
        <v>190000.0</v>
      </c>
      <c r="D18" s="6">
        <v>45000.0</v>
      </c>
      <c r="E18" s="6">
        <v>245000.0</v>
      </c>
      <c r="F18" s="7">
        <f t="shared" si="1"/>
        <v>51923.33333</v>
      </c>
      <c r="G18" s="7">
        <f t="shared" si="2"/>
        <v>311540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3.5" customHeight="1">
      <c r="A19" s="5" t="s">
        <v>24</v>
      </c>
      <c r="B19" s="6">
        <v>3800.0</v>
      </c>
      <c r="C19" s="6">
        <v>110000.0</v>
      </c>
      <c r="D19" s="6">
        <v>30000.0</v>
      </c>
      <c r="E19" s="6">
        <v>230000.0</v>
      </c>
      <c r="F19" s="7">
        <f t="shared" si="1"/>
        <v>32593.33333</v>
      </c>
      <c r="G19" s="7">
        <f t="shared" si="2"/>
        <v>195560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3.5" customHeight="1">
      <c r="A20" s="5" t="s">
        <v>25</v>
      </c>
      <c r="B20" s="6">
        <v>4300.0</v>
      </c>
      <c r="C20" s="6">
        <v>130000.0</v>
      </c>
      <c r="D20" s="6">
        <v>35000.0</v>
      </c>
      <c r="E20" s="6">
        <v>180000.0</v>
      </c>
      <c r="F20" s="7">
        <f t="shared" si="1"/>
        <v>36860</v>
      </c>
      <c r="G20" s="7">
        <f t="shared" si="2"/>
        <v>221160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3.5" customHeight="1">
      <c r="A21" s="5" t="s">
        <v>26</v>
      </c>
      <c r="B21" s="6">
        <v>3350.0</v>
      </c>
      <c r="C21" s="6">
        <v>120000.0</v>
      </c>
      <c r="D21" s="6">
        <v>35000.0</v>
      </c>
      <c r="E21" s="6">
        <v>160000.0</v>
      </c>
      <c r="F21" s="7">
        <f t="shared" si="1"/>
        <v>34336.66667</v>
      </c>
      <c r="G21" s="7">
        <f t="shared" si="2"/>
        <v>206020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printOptions/>
  <pageMargins bottom="0.75" footer="0.0" header="0.0" left="0.7" right="0.7" top="0.75"/>
  <pageSetup orientation="landscape"/>
  <drawing r:id="rId1"/>
</worksheet>
</file>